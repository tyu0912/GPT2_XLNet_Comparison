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yu\Google_Drive\Berkeley\W266 - Nautral Language Processing\w266_project\2.ModelingGPT2andXLNet\"/>
    </mc:Choice>
  </mc:AlternateContent>
  <xr:revisionPtr revIDLastSave="0" documentId="13_ncr:1_{509AAC07-B1E3-4ECE-BCD7-FCBBCD3E8BAA}" xr6:coauthVersionLast="41" xr6:coauthVersionMax="41" xr10:uidLastSave="{00000000-0000-0000-0000-000000000000}"/>
  <bookViews>
    <workbookView xWindow="-6075" yWindow="720" windowWidth="21600" windowHeight="11385" activeTab="2" xr2:uid="{02DEBDDF-CD9D-4ADE-B322-4F882459C7AD}"/>
  </bookViews>
  <sheets>
    <sheet name="Number of Epocs @ Speech Level" sheetId="3" r:id="rId1"/>
    <sheet name="Speech Level" sheetId="1" r:id="rId2"/>
    <sheet name="Sentence Level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22" i="2" l="1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21" i="2"/>
  <c r="D44" i="2"/>
  <c r="D43" i="2"/>
  <c r="D42" i="2"/>
  <c r="D41" i="2"/>
  <c r="D40" i="2"/>
  <c r="D39" i="2"/>
  <c r="D38" i="2"/>
  <c r="D37" i="2"/>
  <c r="D36" i="2"/>
  <c r="D35" i="2"/>
  <c r="D34" i="2"/>
  <c r="D33" i="2"/>
  <c r="D29" i="2"/>
  <c r="D28" i="2"/>
  <c r="D27" i="2"/>
  <c r="D26" i="2"/>
  <c r="D25" i="2"/>
  <c r="D24" i="2"/>
  <c r="D23" i="2"/>
  <c r="D22" i="2"/>
  <c r="D21" i="2"/>
  <c r="D30" i="2"/>
  <c r="D31" i="2"/>
  <c r="D32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  <c r="D21" i="1"/>
  <c r="D22" i="1"/>
  <c r="D23" i="1"/>
  <c r="D24" i="1"/>
  <c r="D25" i="1"/>
  <c r="D26" i="1"/>
  <c r="D27" i="1"/>
  <c r="D28" i="1"/>
  <c r="D20" i="1"/>
  <c r="D12" i="1"/>
  <c r="D13" i="1"/>
  <c r="D14" i="1"/>
  <c r="D15" i="1"/>
  <c r="D16" i="1"/>
  <c r="D17" i="1"/>
  <c r="D18" i="1"/>
  <c r="D19" i="1"/>
  <c r="D11" i="1"/>
  <c r="D3" i="1"/>
  <c r="D4" i="1"/>
  <c r="D5" i="1"/>
  <c r="D6" i="1"/>
  <c r="D7" i="1"/>
  <c r="D8" i="1"/>
  <c r="D9" i="1"/>
  <c r="D10" i="1"/>
  <c r="D2" i="1"/>
</calcChain>
</file>

<file path=xl/sharedStrings.xml><?xml version="1.0" encoding="utf-8"?>
<sst xmlns="http://schemas.openxmlformats.org/spreadsheetml/2006/main" count="57" uniqueCount="34">
  <si>
    <t>perplexity</t>
  </si>
  <si>
    <t>Command</t>
  </si>
  <si>
    <t>cd lr_1e-4_gas_1_wd_0</t>
  </si>
  <si>
    <t>cd lr_1e-4_gas_1_wd_-0.5</t>
  </si>
  <si>
    <t>cd lr_1e-4_gas_1_wd_0.5</t>
  </si>
  <si>
    <t>cd lr_1e-4_gas_2_wd_0</t>
  </si>
  <si>
    <t>cd lr_1e-4_gas_2_wd_-0.5</t>
  </si>
  <si>
    <t>cd lr_1e-4_gas_2_wd_0.5</t>
  </si>
  <si>
    <t>cd lr_1e-4_gas_4_wd_0</t>
  </si>
  <si>
    <t>cd lr_1e-4_gas_4_wd_-0.5</t>
  </si>
  <si>
    <t>cd lr_1e-4_gas_4_wd_0.5</t>
  </si>
  <si>
    <t>cd lr_1e-5_gas_1_wd_0</t>
  </si>
  <si>
    <t>cd lr_1e-5_gas_1_wd_-0.5</t>
  </si>
  <si>
    <t>cd lr_1e-5_gas_1_wd_0.5</t>
  </si>
  <si>
    <t>cd lr_1e-5_gas_2_wd_0</t>
  </si>
  <si>
    <t>cd lr_1e-5_gas_2_wd_-0.5</t>
  </si>
  <si>
    <t>cd lr_1e-5_gas_2_wd_0.5</t>
  </si>
  <si>
    <t>cd lr_1e-5_gas_4_wd_0</t>
  </si>
  <si>
    <t>cd lr_1e-5_gas_4_wd_-0.5</t>
  </si>
  <si>
    <t>cd lr_1e-5_gas_4_wd_0.5</t>
  </si>
  <si>
    <t>cd lr_5e-5_gas_1_wd_0</t>
  </si>
  <si>
    <t>cd lr_5e-5_gas_1_wd_-0.5</t>
  </si>
  <si>
    <t>cd lr_5e-5_gas_1_wd_0.5</t>
  </si>
  <si>
    <t>cd lr_5e-5_gas_2_wd_0</t>
  </si>
  <si>
    <t>cd lr_5e-5_gas_2_wd_-0.5</t>
  </si>
  <si>
    <t>cd lr_5e-5_gas_2_wd_0.5</t>
  </si>
  <si>
    <t>cd lr_5e-5_gas_4_wd_0</t>
  </si>
  <si>
    <t>cd lr_5e-5_gas_4_wd_-0.5</t>
  </si>
  <si>
    <t>cd lr_5e-5_gas_4_wd_0.5</t>
  </si>
  <si>
    <t>learning rate</t>
  </si>
  <si>
    <t>gradient_accumulation_steps</t>
  </si>
  <si>
    <t>weight decays</t>
  </si>
  <si>
    <t>Checkpoint</t>
  </si>
  <si>
    <t>Perplexity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</si>
</sst>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E+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166" fontId="0" fillId="0" borderId="0" xfId="0" applyNumberFormat="1"/>
    <xf numFmtId="0" fontId="2" fillId="0" borderId="0" xfId="0" applyFont="1" applyAlignment="1">
      <alignment vertical="center"/>
    </xf>
    <xf numFmtId="11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41646A-E668-43E9-BC2D-C843972E60EE}">
  <dimension ref="A1:B9"/>
  <sheetViews>
    <sheetView workbookViewId="0">
      <selection activeCell="B2" sqref="B2"/>
    </sheetView>
  </sheetViews>
  <sheetFormatPr defaultRowHeight="15"/>
  <cols>
    <col min="1" max="1" width="11" bestFit="1" customWidth="1"/>
    <col min="2" max="2" width="10.140625" bestFit="1" customWidth="1"/>
  </cols>
  <sheetData>
    <row r="1" spans="1:2">
      <c r="A1" t="s">
        <v>32</v>
      </c>
      <c r="B1" t="s">
        <v>33</v>
      </c>
    </row>
    <row r="2" spans="1:2">
      <c r="A2">
        <v>50</v>
      </c>
      <c r="B2" s="3">
        <v>19.808800000000002</v>
      </c>
    </row>
    <row r="3" spans="1:2">
      <c r="A3">
        <v>100</v>
      </c>
      <c r="B3" s="3">
        <v>19.739000000000001</v>
      </c>
    </row>
    <row r="4" spans="1:2">
      <c r="A4">
        <v>150</v>
      </c>
      <c r="B4" s="3">
        <v>19.8522</v>
      </c>
    </row>
    <row r="5" spans="1:2">
      <c r="A5">
        <v>200</v>
      </c>
      <c r="B5" s="3">
        <v>20.096900000000002</v>
      </c>
    </row>
    <row r="6" spans="1:2">
      <c r="A6">
        <v>250</v>
      </c>
      <c r="B6" s="3">
        <v>20.614899999999999</v>
      </c>
    </row>
    <row r="7" spans="1:2">
      <c r="A7">
        <v>300</v>
      </c>
      <c r="B7" s="3">
        <v>20.825500000000002</v>
      </c>
    </row>
    <row r="8" spans="1:2">
      <c r="A8">
        <v>350</v>
      </c>
      <c r="B8" s="3">
        <v>20.9968</v>
      </c>
    </row>
    <row r="9" spans="1:2">
      <c r="A9">
        <v>400</v>
      </c>
      <c r="B9" s="3">
        <v>21.103300000000001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8C80F-6F72-4D46-A601-04727871CC01}">
  <dimension ref="A1:F30"/>
  <sheetViews>
    <sheetView topLeftCell="B1" workbookViewId="0">
      <selection activeCell="D31" sqref="D31"/>
    </sheetView>
  </sheetViews>
  <sheetFormatPr defaultRowHeight="15"/>
  <cols>
    <col min="1" max="1" width="12.28515625" bestFit="1" customWidth="1"/>
    <col min="2" max="2" width="19.85546875" customWidth="1"/>
    <col min="3" max="3" width="13.7109375" bestFit="1" customWidth="1"/>
    <col min="4" max="5" width="38.5703125" bestFit="1" customWidth="1"/>
  </cols>
  <sheetData>
    <row r="1" spans="1:6">
      <c r="A1" t="s">
        <v>29</v>
      </c>
      <c r="B1" t="s">
        <v>30</v>
      </c>
      <c r="C1" t="s">
        <v>31</v>
      </c>
      <c r="D1" t="s">
        <v>1</v>
      </c>
      <c r="F1" t="s">
        <v>0</v>
      </c>
    </row>
    <row r="2" spans="1:6">
      <c r="A2" s="2">
        <v>1E-4</v>
      </c>
      <c r="B2">
        <v>1</v>
      </c>
      <c r="C2">
        <v>0</v>
      </c>
      <c r="D2" s="1" t="str">
        <f>"vi lr_1e-4_gas_"&amp;B2&amp;"_wd_"&amp;C2&amp;"/eval_results.txt"</f>
        <v>vi lr_1e-4_gas_1_wd_0/eval_results.txt</v>
      </c>
      <c r="E2" t="s">
        <v>2</v>
      </c>
      <c r="F2">
        <v>27.185300000000002</v>
      </c>
    </row>
    <row r="3" spans="1:6">
      <c r="A3" s="2">
        <v>1E-4</v>
      </c>
      <c r="B3">
        <v>1</v>
      </c>
      <c r="C3">
        <v>-0.5</v>
      </c>
      <c r="D3" s="1" t="str">
        <f t="shared" ref="D3:E19" si="0">"vi lr_1e-4_gas_"&amp;B3&amp;"_wd_"&amp;C3&amp;"/eval_results.txt"</f>
        <v>vi lr_1e-4_gas_1_wd_-0.5/eval_results.txt</v>
      </c>
      <c r="E3" t="s">
        <v>3</v>
      </c>
      <c r="F3">
        <v>27.185300000000002</v>
      </c>
    </row>
    <row r="4" spans="1:6">
      <c r="A4" s="2">
        <v>1E-4</v>
      </c>
      <c r="B4">
        <v>1</v>
      </c>
      <c r="C4">
        <v>0.5</v>
      </c>
      <c r="D4" s="1" t="str">
        <f t="shared" si="0"/>
        <v>vi lr_1e-4_gas_1_wd_0.5/eval_results.txt</v>
      </c>
      <c r="E4" t="s">
        <v>4</v>
      </c>
      <c r="F4">
        <v>27.195799999999998</v>
      </c>
    </row>
    <row r="5" spans="1:6">
      <c r="A5" s="2">
        <v>1E-4</v>
      </c>
      <c r="B5">
        <v>2</v>
      </c>
      <c r="C5">
        <v>0</v>
      </c>
      <c r="D5" s="1" t="str">
        <f t="shared" si="0"/>
        <v>vi lr_1e-4_gas_2_wd_0/eval_results.txt</v>
      </c>
      <c r="E5" t="s">
        <v>5</v>
      </c>
      <c r="F5">
        <v>22.6431</v>
      </c>
    </row>
    <row r="6" spans="1:6">
      <c r="A6" s="2">
        <v>1E-4</v>
      </c>
      <c r="B6">
        <v>2</v>
      </c>
      <c r="C6">
        <v>-0.5</v>
      </c>
      <c r="D6" s="1" t="str">
        <f t="shared" si="0"/>
        <v>vi lr_1e-4_gas_2_wd_-0.5/eval_results.txt</v>
      </c>
      <c r="E6" t="s">
        <v>6</v>
      </c>
      <c r="F6">
        <v>22.6431</v>
      </c>
    </row>
    <row r="7" spans="1:6">
      <c r="A7" s="2">
        <v>1E-4</v>
      </c>
      <c r="B7">
        <v>2</v>
      </c>
      <c r="C7">
        <v>0.5</v>
      </c>
      <c r="D7" s="1" t="str">
        <f t="shared" si="0"/>
        <v>vi lr_1e-4_gas_2_wd_0.5/eval_results.txt</v>
      </c>
      <c r="E7" t="s">
        <v>7</v>
      </c>
      <c r="F7">
        <v>22.638400000000001</v>
      </c>
    </row>
    <row r="8" spans="1:6">
      <c r="A8" s="2">
        <v>1E-4</v>
      </c>
      <c r="B8">
        <v>4</v>
      </c>
      <c r="C8">
        <v>0</v>
      </c>
      <c r="D8" s="1" t="str">
        <f t="shared" si="0"/>
        <v>vi lr_1e-4_gas_4_wd_0/eval_results.txt</v>
      </c>
      <c r="E8" t="s">
        <v>8</v>
      </c>
      <c r="F8">
        <v>20.723199999999999</v>
      </c>
    </row>
    <row r="9" spans="1:6">
      <c r="A9" s="2">
        <v>1E-4</v>
      </c>
      <c r="B9">
        <v>4</v>
      </c>
      <c r="C9">
        <v>-0.5</v>
      </c>
      <c r="D9" s="1" t="str">
        <f t="shared" si="0"/>
        <v>vi lr_1e-4_gas_4_wd_-0.5/eval_results.txt</v>
      </c>
      <c r="E9" t="s">
        <v>9</v>
      </c>
      <c r="F9">
        <v>20.723199999999999</v>
      </c>
    </row>
    <row r="10" spans="1:6">
      <c r="A10" s="2">
        <v>1E-4</v>
      </c>
      <c r="B10">
        <v>4</v>
      </c>
      <c r="C10">
        <v>0.5</v>
      </c>
      <c r="D10" s="1" t="str">
        <f t="shared" si="0"/>
        <v>vi lr_1e-4_gas_4_wd_0.5/eval_results.txt</v>
      </c>
      <c r="E10" t="s">
        <v>10</v>
      </c>
      <c r="F10">
        <v>20.717500000000001</v>
      </c>
    </row>
    <row r="11" spans="1:6">
      <c r="A11" s="2">
        <v>1.0000000000000001E-5</v>
      </c>
      <c r="B11">
        <v>1</v>
      </c>
      <c r="C11">
        <v>0</v>
      </c>
      <c r="D11" s="1" t="str">
        <f>"vi lr_1e-5_gas_"&amp;B11&amp;"_wd_"&amp;C11&amp;"/eval_results.txt"</f>
        <v>vi lr_1e-5_gas_1_wd_0/eval_results.txt</v>
      </c>
      <c r="E11" t="s">
        <v>11</v>
      </c>
    </row>
    <row r="12" spans="1:6">
      <c r="A12" s="2">
        <v>1.0000000000000001E-5</v>
      </c>
      <c r="B12">
        <v>1</v>
      </c>
      <c r="C12">
        <v>-0.5</v>
      </c>
      <c r="D12" s="1" t="str">
        <f t="shared" ref="D12:E28" si="1">"vi lr_1e-5_gas_"&amp;B12&amp;"_wd_"&amp;C12&amp;"/eval_results.txt"</f>
        <v>vi lr_1e-5_gas_1_wd_-0.5/eval_results.txt</v>
      </c>
      <c r="E12" t="s">
        <v>12</v>
      </c>
      <c r="F12">
        <v>20.072900000000001</v>
      </c>
    </row>
    <row r="13" spans="1:6">
      <c r="A13" s="2">
        <v>1.0000000000000001E-5</v>
      </c>
      <c r="B13">
        <v>1</v>
      </c>
      <c r="C13">
        <v>0.5</v>
      </c>
      <c r="D13" s="1" t="str">
        <f t="shared" si="1"/>
        <v>vi lr_1e-5_gas_1_wd_0.5/eval_results.txt</v>
      </c>
      <c r="E13" t="s">
        <v>13</v>
      </c>
    </row>
    <row r="14" spans="1:6">
      <c r="A14" s="2">
        <v>1.0000000000000001E-5</v>
      </c>
      <c r="B14">
        <v>2</v>
      </c>
      <c r="C14">
        <v>0</v>
      </c>
      <c r="D14" s="1" t="str">
        <f t="shared" si="1"/>
        <v>vi lr_1e-5_gas_2_wd_0/eval_results.txt</v>
      </c>
      <c r="E14" t="s">
        <v>14</v>
      </c>
    </row>
    <row r="15" spans="1:6">
      <c r="A15" s="2">
        <v>1.0000000000000001E-5</v>
      </c>
      <c r="B15">
        <v>2</v>
      </c>
      <c r="C15">
        <v>-0.5</v>
      </c>
      <c r="D15" s="1" t="str">
        <f t="shared" si="1"/>
        <v>vi lr_1e-5_gas_2_wd_-0.5/eval_results.txt</v>
      </c>
      <c r="E15" t="s">
        <v>15</v>
      </c>
    </row>
    <row r="16" spans="1:6">
      <c r="A16" s="2">
        <v>1.0000000000000001E-5</v>
      </c>
      <c r="B16">
        <v>2</v>
      </c>
      <c r="C16">
        <v>0.5</v>
      </c>
      <c r="D16" s="1" t="str">
        <f t="shared" si="1"/>
        <v>vi lr_1e-5_gas_2_wd_0.5/eval_results.txt</v>
      </c>
      <c r="E16" t="s">
        <v>16</v>
      </c>
    </row>
    <row r="17" spans="1:6">
      <c r="A17" s="2">
        <v>1.0000000000000001E-5</v>
      </c>
      <c r="B17">
        <v>4</v>
      </c>
      <c r="C17">
        <v>0</v>
      </c>
      <c r="D17" s="1" t="str">
        <f t="shared" si="1"/>
        <v>vi lr_1e-5_gas_4_wd_0/eval_results.txt</v>
      </c>
      <c r="E17" t="s">
        <v>17</v>
      </c>
    </row>
    <row r="18" spans="1:6">
      <c r="A18" s="2">
        <v>1.0000000000000001E-5</v>
      </c>
      <c r="B18">
        <v>4</v>
      </c>
      <c r="C18">
        <v>-0.5</v>
      </c>
      <c r="D18" s="1" t="str">
        <f t="shared" si="1"/>
        <v>vi lr_1e-5_gas_4_wd_-0.5/eval_results.txt</v>
      </c>
      <c r="E18" t="s">
        <v>18</v>
      </c>
    </row>
    <row r="19" spans="1:6">
      <c r="A19" s="2">
        <v>1.0000000000000001E-5</v>
      </c>
      <c r="B19">
        <v>4</v>
      </c>
      <c r="C19">
        <v>0.5</v>
      </c>
      <c r="D19" s="1" t="str">
        <f t="shared" si="1"/>
        <v>vi lr_1e-5_gas_4_wd_0.5/eval_results.txt</v>
      </c>
      <c r="E19" t="s">
        <v>19</v>
      </c>
    </row>
    <row r="20" spans="1:6">
      <c r="A20" s="2">
        <v>5.0000000000000002E-5</v>
      </c>
      <c r="B20">
        <v>1</v>
      </c>
      <c r="C20">
        <v>0</v>
      </c>
      <c r="D20" s="1" t="str">
        <f>"vi lr_5e-5_gas_"&amp;B20&amp;"_wd_"&amp;C20&amp;"/eval_results.txt"</f>
        <v>vi lr_5e-5_gas_1_wd_0/eval_results.txt</v>
      </c>
      <c r="E20" t="s">
        <v>20</v>
      </c>
      <c r="F20">
        <v>21.103300000000001</v>
      </c>
    </row>
    <row r="21" spans="1:6">
      <c r="A21" s="2">
        <v>5.0000000000000002E-5</v>
      </c>
      <c r="B21">
        <v>1</v>
      </c>
      <c r="C21">
        <v>-0.5</v>
      </c>
      <c r="D21" s="1" t="str">
        <f t="shared" ref="D21:E28" si="2">"vi lr_5e-5_gas_"&amp;B21&amp;"_wd_"&amp;C21&amp;"/eval_results.txt"</f>
        <v>vi lr_5e-5_gas_1_wd_-0.5/eval_results.txt</v>
      </c>
      <c r="E21" t="s">
        <v>21</v>
      </c>
      <c r="F21">
        <v>21.103300000000001</v>
      </c>
    </row>
    <row r="22" spans="1:6">
      <c r="A22" s="2">
        <v>5.0000000000000002E-5</v>
      </c>
      <c r="B22">
        <v>1</v>
      </c>
      <c r="C22">
        <v>0.5</v>
      </c>
      <c r="D22" s="1" t="str">
        <f t="shared" si="2"/>
        <v>vi lr_5e-5_gas_1_wd_0.5/eval_results.txt</v>
      </c>
      <c r="E22" t="s">
        <v>22</v>
      </c>
      <c r="F22">
        <v>21.093900000000001</v>
      </c>
    </row>
    <row r="23" spans="1:6">
      <c r="A23" s="2">
        <v>5.0000000000000002E-5</v>
      </c>
      <c r="B23">
        <v>2</v>
      </c>
      <c r="C23">
        <v>0</v>
      </c>
      <c r="D23" s="1" t="str">
        <f t="shared" si="2"/>
        <v>vi lr_5e-5_gas_2_wd_0/eval_results.txt</v>
      </c>
      <c r="E23" t="s">
        <v>23</v>
      </c>
      <c r="F23">
        <v>20.061399999999999</v>
      </c>
    </row>
    <row r="24" spans="1:6">
      <c r="A24" s="2">
        <v>5.0000000000000002E-5</v>
      </c>
      <c r="B24">
        <v>2</v>
      </c>
      <c r="C24">
        <v>-0.5</v>
      </c>
      <c r="D24" s="1" t="str">
        <f t="shared" si="2"/>
        <v>vi lr_5e-5_gas_2_wd_-0.5/eval_results.txt</v>
      </c>
      <c r="E24" t="s">
        <v>24</v>
      </c>
      <c r="F24">
        <v>20.614000000000001</v>
      </c>
    </row>
    <row r="25" spans="1:6">
      <c r="A25" s="2">
        <v>5.0000000000000002E-5</v>
      </c>
      <c r="B25">
        <v>2</v>
      </c>
      <c r="C25">
        <v>0.5</v>
      </c>
      <c r="D25" s="1" t="str">
        <f t="shared" si="2"/>
        <v>vi lr_5e-5_gas_2_wd_0.5/eval_results.txt</v>
      </c>
      <c r="E25" t="s">
        <v>25</v>
      </c>
      <c r="F25">
        <v>20.055700000000002</v>
      </c>
    </row>
    <row r="26" spans="1:6">
      <c r="A26" s="2">
        <v>5.0000000000000002E-5</v>
      </c>
      <c r="B26">
        <v>4</v>
      </c>
      <c r="C26">
        <v>0</v>
      </c>
      <c r="D26" s="1" t="str">
        <f t="shared" si="2"/>
        <v>vi lr_5e-5_gas_4_wd_0/eval_results.txt</v>
      </c>
      <c r="E26" t="s">
        <v>26</v>
      </c>
      <c r="F26">
        <v>19.6008</v>
      </c>
    </row>
    <row r="27" spans="1:6">
      <c r="A27" s="2">
        <v>5.0000000000000002E-5</v>
      </c>
      <c r="B27">
        <v>4</v>
      </c>
      <c r="C27">
        <v>-0.5</v>
      </c>
      <c r="D27" s="1" t="str">
        <f t="shared" si="2"/>
        <v>vi lr_5e-5_gas_4_wd_-0.5/eval_results.txt</v>
      </c>
      <c r="E27" t="s">
        <v>27</v>
      </c>
      <c r="F27">
        <v>19.6008</v>
      </c>
    </row>
    <row r="28" spans="1:6">
      <c r="A28" s="2">
        <v>5.0000000000000002E-5</v>
      </c>
      <c r="B28">
        <v>4</v>
      </c>
      <c r="C28">
        <v>0.5</v>
      </c>
      <c r="D28" s="1" t="str">
        <f t="shared" si="2"/>
        <v>vi lr_5e-5_gas_4_wd_0.5/eval_results.txt</v>
      </c>
      <c r="E28" t="s">
        <v>28</v>
      </c>
      <c r="F28">
        <v>19.5975</v>
      </c>
    </row>
    <row r="29" spans="1:6">
      <c r="A29" s="1"/>
    </row>
    <row r="30" spans="1:6">
      <c r="A3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99A5F-DD34-4B50-A1F6-77CA985D4154}">
  <dimension ref="A1:F44"/>
  <sheetViews>
    <sheetView tabSelected="1" topLeftCell="A13" workbookViewId="0">
      <selection activeCell="C27" sqref="C27"/>
    </sheetView>
  </sheetViews>
  <sheetFormatPr defaultRowHeight="15"/>
  <cols>
    <col min="1" max="1" width="12.28515625" bestFit="1" customWidth="1"/>
    <col min="2" max="2" width="27.5703125" bestFit="1" customWidth="1"/>
    <col min="3" max="3" width="13.7109375" bestFit="1" customWidth="1"/>
    <col min="4" max="4" width="38.5703125" bestFit="1" customWidth="1"/>
    <col min="5" max="5" width="23.85546875" bestFit="1" customWidth="1"/>
  </cols>
  <sheetData>
    <row r="1" spans="1:6">
      <c r="A1" t="s">
        <v>29</v>
      </c>
      <c r="B1" t="s">
        <v>30</v>
      </c>
      <c r="C1" t="s">
        <v>31</v>
      </c>
      <c r="D1" t="s">
        <v>1</v>
      </c>
      <c r="F1" t="s">
        <v>0</v>
      </c>
    </row>
    <row r="2" spans="1:6">
      <c r="A2" s="2">
        <v>1E-4</v>
      </c>
      <c r="B2">
        <v>1</v>
      </c>
      <c r="C2">
        <v>0</v>
      </c>
      <c r="D2" s="1" t="str">
        <f>"vi lr_1e-4_gas_"&amp;B2&amp;"_wd_"&amp;C2&amp;"/eval_results.txt"</f>
        <v>vi lr_1e-4_gas_1_wd_0/eval_results.txt</v>
      </c>
      <c r="E2" t="s">
        <v>2</v>
      </c>
      <c r="F2">
        <v>3.7109999999999999</v>
      </c>
    </row>
    <row r="3" spans="1:6">
      <c r="A3" s="2">
        <v>1E-4</v>
      </c>
      <c r="B3">
        <v>1</v>
      </c>
      <c r="C3">
        <v>0.5</v>
      </c>
      <c r="D3" s="1" t="str">
        <f t="shared" ref="D3:D7" si="0">"vi lr_1e-4_gas_"&amp;B3&amp;"_wd_"&amp;C3&amp;"/eval_results.txt"</f>
        <v>vi lr_1e-4_gas_1_wd_0.5/eval_results.txt</v>
      </c>
      <c r="E3" t="s">
        <v>4</v>
      </c>
      <c r="F3">
        <v>3.7099000000000002</v>
      </c>
    </row>
    <row r="4" spans="1:6">
      <c r="A4" s="2">
        <v>1E-4</v>
      </c>
      <c r="B4">
        <v>2</v>
      </c>
      <c r="C4">
        <v>0</v>
      </c>
      <c r="D4" s="1" t="str">
        <f t="shared" si="0"/>
        <v>vi lr_1e-4_gas_2_wd_0/eval_results.txt</v>
      </c>
      <c r="E4" t="s">
        <v>5</v>
      </c>
      <c r="F4">
        <v>3.7139000000000002</v>
      </c>
    </row>
    <row r="5" spans="1:6">
      <c r="A5" s="2">
        <v>1E-4</v>
      </c>
      <c r="B5">
        <v>2</v>
      </c>
      <c r="C5">
        <v>0.5</v>
      </c>
      <c r="D5" s="1" t="str">
        <f t="shared" si="0"/>
        <v>vi lr_1e-4_gas_2_wd_0.5/eval_results.txt</v>
      </c>
      <c r="E5" t="s">
        <v>7</v>
      </c>
      <c r="F5">
        <v>3.7132000000000001</v>
      </c>
    </row>
    <row r="6" spans="1:6">
      <c r="A6" s="2">
        <v>1E-4</v>
      </c>
      <c r="B6">
        <v>4</v>
      </c>
      <c r="C6">
        <v>0</v>
      </c>
      <c r="D6" s="1" t="str">
        <f t="shared" si="0"/>
        <v>vi lr_1e-4_gas_4_wd_0/eval_results.txt</v>
      </c>
      <c r="E6" t="s">
        <v>8</v>
      </c>
      <c r="F6">
        <v>3.7397</v>
      </c>
    </row>
    <row r="7" spans="1:6">
      <c r="A7" s="2">
        <v>1E-4</v>
      </c>
      <c r="B7">
        <v>4</v>
      </c>
      <c r="C7">
        <v>0.5</v>
      </c>
      <c r="D7" s="1" t="str">
        <f t="shared" si="0"/>
        <v>vi lr_1e-4_gas_4_wd_0.5/eval_results.txt</v>
      </c>
      <c r="E7" t="s">
        <v>10</v>
      </c>
      <c r="F7">
        <v>3.7393000000000001</v>
      </c>
    </row>
    <row r="8" spans="1:6">
      <c r="A8" s="2">
        <v>1.0000000000000001E-5</v>
      </c>
      <c r="B8">
        <v>1</v>
      </c>
      <c r="C8">
        <v>0</v>
      </c>
      <c r="D8" s="1" t="str">
        <f>"vi lr_1e-5_gas_"&amp;B8&amp;"_wd_"&amp;C8&amp;"/eval_results.txt"</f>
        <v>vi lr_1e-5_gas_1_wd_0/eval_results.txt</v>
      </c>
      <c r="E8" t="s">
        <v>11</v>
      </c>
      <c r="F8">
        <v>3.9232999999999998</v>
      </c>
    </row>
    <row r="9" spans="1:6">
      <c r="A9" s="2">
        <v>1.0000000000000001E-5</v>
      </c>
      <c r="B9">
        <v>1</v>
      </c>
      <c r="C9">
        <v>0.5</v>
      </c>
      <c r="D9" s="1" t="str">
        <f t="shared" ref="D9:D13" si="1">"vi lr_1e-5_gas_"&amp;B9&amp;"_wd_"&amp;C9&amp;"/eval_results.txt"</f>
        <v>vi lr_1e-5_gas_1_wd_0.5/eval_results.txt</v>
      </c>
      <c r="E9" t="s">
        <v>13</v>
      </c>
      <c r="F9">
        <v>3.9228999999999998</v>
      </c>
    </row>
    <row r="10" spans="1:6">
      <c r="A10" s="2">
        <v>1.0000000000000001E-5</v>
      </c>
      <c r="B10">
        <v>2</v>
      </c>
      <c r="C10">
        <v>0</v>
      </c>
      <c r="D10" s="1" t="str">
        <f t="shared" si="1"/>
        <v>vi lr_1e-5_gas_2_wd_0/eval_results.txt</v>
      </c>
      <c r="E10" t="s">
        <v>14</v>
      </c>
      <c r="F10">
        <v>4.0214999999999996</v>
      </c>
    </row>
    <row r="11" spans="1:6">
      <c r="A11" s="2">
        <v>1.0000000000000001E-5</v>
      </c>
      <c r="B11">
        <v>2</v>
      </c>
      <c r="C11">
        <v>0.5</v>
      </c>
      <c r="D11" s="1" t="str">
        <f t="shared" si="1"/>
        <v>vi lr_1e-5_gas_2_wd_0.5/eval_results.txt</v>
      </c>
      <c r="E11" t="s">
        <v>16</v>
      </c>
      <c r="F11">
        <v>4.0213999999999999</v>
      </c>
    </row>
    <row r="12" spans="1:6">
      <c r="A12" s="2">
        <v>1.0000000000000001E-5</v>
      </c>
      <c r="B12">
        <v>4</v>
      </c>
      <c r="C12">
        <v>0</v>
      </c>
      <c r="D12" s="1" t="str">
        <f t="shared" si="1"/>
        <v>vi lr_1e-5_gas_4_wd_0/eval_results.txt</v>
      </c>
      <c r="E12" t="s">
        <v>17</v>
      </c>
      <c r="F12">
        <v>4.1519000000000004</v>
      </c>
    </row>
    <row r="13" spans="1:6">
      <c r="A13" s="2">
        <v>1.0000000000000001E-5</v>
      </c>
      <c r="B13">
        <v>4</v>
      </c>
      <c r="C13">
        <v>0.5</v>
      </c>
      <c r="D13" s="1" t="str">
        <f t="shared" si="1"/>
        <v>vi lr_1e-5_gas_4_wd_0.5/eval_results.txt</v>
      </c>
      <c r="E13" t="s">
        <v>19</v>
      </c>
      <c r="F13">
        <v>4.1519000000000004</v>
      </c>
    </row>
    <row r="14" spans="1:6">
      <c r="A14" s="2">
        <v>5.0000000000000002E-5</v>
      </c>
      <c r="B14">
        <v>1</v>
      </c>
      <c r="C14">
        <v>0</v>
      </c>
      <c r="D14" s="1" t="str">
        <f>"vi lr_5e-5_gas_"&amp;B14&amp;"_wd_"&amp;C14&amp;"/eval_results.txt"</f>
        <v>vi lr_5e-5_gas_1_wd_0/eval_results.txt</v>
      </c>
      <c r="E14" t="s">
        <v>20</v>
      </c>
      <c r="F14">
        <v>3.7227999999999999</v>
      </c>
    </row>
    <row r="15" spans="1:6">
      <c r="A15" s="2">
        <v>5.0000000000000002E-5</v>
      </c>
      <c r="B15">
        <v>1</v>
      </c>
      <c r="C15">
        <v>0.5</v>
      </c>
      <c r="D15" s="1" t="str">
        <f t="shared" ref="D15:D19" si="2">"vi lr_5e-5_gas_"&amp;B15&amp;"_wd_"&amp;C15&amp;"/eval_results.txt"</f>
        <v>vi lr_5e-5_gas_1_wd_0.5/eval_results.txt</v>
      </c>
      <c r="E15" t="s">
        <v>22</v>
      </c>
      <c r="F15">
        <v>3.7222</v>
      </c>
    </row>
    <row r="16" spans="1:6">
      <c r="A16" s="2">
        <v>5.0000000000000002E-5</v>
      </c>
      <c r="B16">
        <v>2</v>
      </c>
      <c r="C16">
        <v>0</v>
      </c>
      <c r="D16" s="1" t="str">
        <f t="shared" si="2"/>
        <v>vi lr_5e-5_gas_2_wd_0/eval_results.txt</v>
      </c>
      <c r="E16" t="s">
        <v>23</v>
      </c>
      <c r="F16">
        <v>3.7504</v>
      </c>
    </row>
    <row r="17" spans="1:6">
      <c r="A17" s="2">
        <v>5.0000000000000002E-5</v>
      </c>
      <c r="B17">
        <v>2</v>
      </c>
      <c r="C17">
        <v>0.5</v>
      </c>
      <c r="D17" s="1" t="str">
        <f t="shared" si="2"/>
        <v>vi lr_5e-5_gas_2_wd_0.5/eval_results.txt</v>
      </c>
      <c r="E17" t="s">
        <v>25</v>
      </c>
      <c r="F17">
        <v>3.7501000000000002</v>
      </c>
    </row>
    <row r="18" spans="1:6">
      <c r="A18" s="2">
        <v>5.0000000000000002E-5</v>
      </c>
      <c r="B18">
        <v>4</v>
      </c>
      <c r="C18">
        <v>0</v>
      </c>
      <c r="D18" s="1" t="str">
        <f t="shared" si="2"/>
        <v>vi lr_5e-5_gas_4_wd_0/eval_results.txt</v>
      </c>
      <c r="E18" t="s">
        <v>26</v>
      </c>
      <c r="F18">
        <v>3.8010000000000002</v>
      </c>
    </row>
    <row r="19" spans="1:6">
      <c r="A19" s="2">
        <v>5.0000000000000002E-5</v>
      </c>
      <c r="B19">
        <v>4</v>
      </c>
      <c r="C19">
        <v>0.5</v>
      </c>
      <c r="D19" s="1" t="str">
        <f t="shared" si="2"/>
        <v>vi lr_5e-5_gas_4_wd_0.5/eval_results.txt</v>
      </c>
      <c r="E19" t="s">
        <v>28</v>
      </c>
      <c r="F19">
        <v>3.8098999999999998</v>
      </c>
    </row>
    <row r="21" spans="1:6">
      <c r="A21" s="1">
        <v>0.1</v>
      </c>
      <c r="B21">
        <v>1</v>
      </c>
      <c r="C21">
        <v>0</v>
      </c>
      <c r="D21" s="1" t="str">
        <f>"vi lr_1e-1_gas_"&amp;B21&amp;"_wd_"&amp;C21&amp;"/eval_results.txt"</f>
        <v>vi lr_1e-1_gas_1_wd_0/eval_results.txt</v>
      </c>
      <c r="E21" t="str">
        <f>"cd " &amp;MID(D21,FIND(" ",D21),FIND("/",D21)-FIND(" ",D21))</f>
        <v>cd  lr_1e-1_gas_1_wd_0</v>
      </c>
      <c r="F21">
        <v>1311.9023</v>
      </c>
    </row>
    <row r="22" spans="1:6">
      <c r="A22" s="1">
        <v>0.1</v>
      </c>
      <c r="B22">
        <v>1</v>
      </c>
      <c r="C22">
        <v>0.5</v>
      </c>
      <c r="D22" s="1" t="str">
        <f>"vi lr_1e-1_gas_"&amp;B22&amp;"_wd_"&amp;C22&amp;"/eval_results.txt"</f>
        <v>vi lr_1e-1_gas_1_wd_0.5/eval_results.txt</v>
      </c>
      <c r="E22" t="str">
        <f t="shared" ref="E22:E44" si="3">"cd " &amp;MID(D22,FIND(" ",D22),FIND("/",D22)-FIND(" ",D22))</f>
        <v>cd  lr_1e-1_gas_1_wd_0.5</v>
      </c>
      <c r="F22">
        <v>642.59780000000001</v>
      </c>
    </row>
    <row r="23" spans="1:6">
      <c r="A23" s="1">
        <v>0.1</v>
      </c>
      <c r="B23">
        <v>1</v>
      </c>
      <c r="C23">
        <v>0.75</v>
      </c>
      <c r="D23" s="1" t="str">
        <f>"vi lr_1e-1_gas_"&amp;B23&amp;"_wd_"&amp;C23&amp;"/eval_results.txt"</f>
        <v>vi lr_1e-1_gas_1_wd_0.75/eval_results.txt</v>
      </c>
      <c r="E23" t="str">
        <f t="shared" si="3"/>
        <v>cd  lr_1e-1_gas_1_wd_0.75</v>
      </c>
      <c r="F23">
        <v>650.80399999999997</v>
      </c>
    </row>
    <row r="24" spans="1:6">
      <c r="A24" s="1">
        <v>0.01</v>
      </c>
      <c r="B24">
        <v>1</v>
      </c>
      <c r="C24">
        <v>0</v>
      </c>
      <c r="D24" s="1" t="str">
        <f>"vi lr_1e-2_gas_"&amp;B24&amp;"_wd_"&amp;C24&amp;"/eval_results.txt"</f>
        <v>vi lr_1e-2_gas_1_wd_0/eval_results.txt</v>
      </c>
      <c r="E24" t="str">
        <f t="shared" si="3"/>
        <v>cd  lr_1e-2_gas_1_wd_0</v>
      </c>
      <c r="F24">
        <v>144.28479999999999</v>
      </c>
    </row>
    <row r="25" spans="1:6">
      <c r="A25" s="1">
        <v>0.01</v>
      </c>
      <c r="B25">
        <v>1</v>
      </c>
      <c r="C25">
        <v>0.5</v>
      </c>
      <c r="D25" s="1" t="str">
        <f>"vi lr_1e-2_gas_"&amp;B25&amp;"_wd_"&amp;C25&amp;"/eval_results.txt"</f>
        <v>vi lr_1e-2_gas_1_wd_0.5/eval_results.txt</v>
      </c>
      <c r="E25" t="str">
        <f t="shared" si="3"/>
        <v>cd  lr_1e-2_gas_1_wd_0.5</v>
      </c>
      <c r="F25">
        <v>158.84190000000001</v>
      </c>
    </row>
    <row r="26" spans="1:6">
      <c r="A26" s="1">
        <v>0.01</v>
      </c>
      <c r="B26">
        <v>1</v>
      </c>
      <c r="C26">
        <v>0.75</v>
      </c>
      <c r="D26" s="1" t="str">
        <f>"vi lr_1e-2_gas_"&amp;B26&amp;"_wd_"&amp;C26&amp;"/eval_results.txt"</f>
        <v>vi lr_1e-2_gas_1_wd_0.75/eval_results.txt</v>
      </c>
      <c r="E26" t="str">
        <f t="shared" si="3"/>
        <v>cd  lr_1e-2_gas_1_wd_0.75</v>
      </c>
      <c r="F26">
        <v>151.33279999999999</v>
      </c>
    </row>
    <row r="27" spans="1:6">
      <c r="A27" s="1">
        <v>1E-3</v>
      </c>
      <c r="B27">
        <v>1</v>
      </c>
      <c r="C27">
        <v>0</v>
      </c>
      <c r="D27" s="1" t="str">
        <f>"vi lr_1e-3_gas_"&amp;B27&amp;"_wd_"&amp;C27&amp;"/eval_results.txt"</f>
        <v>vi lr_1e-3_gas_1_wd_0/eval_results.txt</v>
      </c>
      <c r="E27" t="str">
        <f t="shared" si="3"/>
        <v>cd  lr_1e-3_gas_1_wd_0</v>
      </c>
      <c r="F27">
        <v>4.5015999999999998</v>
      </c>
    </row>
    <row r="28" spans="1:6">
      <c r="A28" s="1">
        <v>1E-3</v>
      </c>
      <c r="B28">
        <v>1</v>
      </c>
      <c r="C28">
        <v>0.5</v>
      </c>
      <c r="D28" s="1" t="str">
        <f>"vi lr_1e-3_gas_"&amp;B28&amp;"_wd_"&amp;C28&amp;"/eval_results.txt"</f>
        <v>vi lr_1e-3_gas_1_wd_0.5/eval_results.txt</v>
      </c>
      <c r="E28" t="str">
        <f t="shared" si="3"/>
        <v>cd  lr_1e-3_gas_1_wd_0.5</v>
      </c>
      <c r="F28">
        <v>4.5536000000000003</v>
      </c>
    </row>
    <row r="29" spans="1:6">
      <c r="A29" s="1">
        <v>1E-3</v>
      </c>
      <c r="B29">
        <v>1</v>
      </c>
      <c r="C29">
        <v>0.75</v>
      </c>
      <c r="D29" s="1" t="str">
        <f>"vi lr_1e-3_gas_"&amp;B29&amp;"_wd_"&amp;C29&amp;"/eval_results.txt"</f>
        <v>vi lr_1e-3_gas_1_wd_0.75/eval_results.txt</v>
      </c>
      <c r="E29" t="str">
        <f t="shared" si="3"/>
        <v>cd  lr_1e-3_gas_1_wd_0.75</v>
      </c>
      <c r="F29">
        <v>4.5385</v>
      </c>
    </row>
    <row r="30" spans="1:6">
      <c r="A30" s="1">
        <v>1E-4</v>
      </c>
      <c r="B30">
        <v>1</v>
      </c>
      <c r="C30">
        <v>0</v>
      </c>
      <c r="D30" s="1" t="str">
        <f t="shared" ref="D22:D44" si="4">"vi lr_1e-4_gas_"&amp;B30&amp;"_wd_"&amp;C30&amp;"/eval_results.txt"</f>
        <v>vi lr_1e-4_gas_1_wd_0/eval_results.txt</v>
      </c>
      <c r="E30" t="str">
        <f t="shared" si="3"/>
        <v>cd  lr_1e-4_gas_1_wd_0</v>
      </c>
      <c r="F30">
        <v>3.7109999999999999</v>
      </c>
    </row>
    <row r="31" spans="1:6">
      <c r="A31" s="1">
        <v>1E-4</v>
      </c>
      <c r="B31">
        <v>1</v>
      </c>
      <c r="C31">
        <v>0.5</v>
      </c>
      <c r="D31" s="1" t="str">
        <f t="shared" si="4"/>
        <v>vi lr_1e-4_gas_1_wd_0.5/eval_results.txt</v>
      </c>
      <c r="E31" t="str">
        <f t="shared" si="3"/>
        <v>cd  lr_1e-4_gas_1_wd_0.5</v>
      </c>
      <c r="F31">
        <v>3.7099000000000002</v>
      </c>
    </row>
    <row r="32" spans="1:6">
      <c r="A32" s="4">
        <v>1E-4</v>
      </c>
      <c r="B32" s="5">
        <v>1</v>
      </c>
      <c r="C32" s="5">
        <v>0.75</v>
      </c>
      <c r="D32" s="4" t="str">
        <f t="shared" si="4"/>
        <v>vi lr_1e-4_gas_1_wd_0.75/eval_results.txt</v>
      </c>
      <c r="E32" s="5" t="str">
        <f t="shared" si="3"/>
        <v>cd  lr_1e-4_gas_1_wd_0.75</v>
      </c>
      <c r="F32" s="5">
        <v>3.7096</v>
      </c>
    </row>
    <row r="33" spans="1:6">
      <c r="A33" s="1">
        <v>0.5</v>
      </c>
      <c r="B33">
        <v>1</v>
      </c>
      <c r="C33">
        <v>0</v>
      </c>
      <c r="D33" s="1" t="str">
        <f>"vi lr_5e-1_gas_"&amp;B33&amp;"_wd_"&amp;C33&amp;"/eval_results.txt"</f>
        <v>vi lr_5e-1_gas_1_wd_0/eval_results.txt</v>
      </c>
      <c r="E33" t="str">
        <f t="shared" si="3"/>
        <v>cd  lr_5e-1_gas_1_wd_0</v>
      </c>
      <c r="F33" s="1">
        <v>218300000</v>
      </c>
    </row>
    <row r="34" spans="1:6">
      <c r="A34" s="1">
        <v>0.5</v>
      </c>
      <c r="B34">
        <v>1</v>
      </c>
      <c r="C34">
        <v>0.5</v>
      </c>
      <c r="D34" s="1" t="str">
        <f>"vi lr_5e-1_gas_"&amp;B34&amp;"_wd_"&amp;C34&amp;"/eval_results.txt"</f>
        <v>vi lr_5e-1_gas_1_wd_0.5/eval_results.txt</v>
      </c>
      <c r="E34" t="str">
        <f t="shared" si="3"/>
        <v>cd  lr_5e-1_gas_1_wd_0.5</v>
      </c>
      <c r="F34">
        <v>710.05870000000004</v>
      </c>
    </row>
    <row r="35" spans="1:6">
      <c r="A35" s="1">
        <v>0.5</v>
      </c>
      <c r="B35">
        <v>1</v>
      </c>
      <c r="C35">
        <v>0.75</v>
      </c>
      <c r="D35" s="1" t="str">
        <f>"vi lr_5e-1_gas_"&amp;B35&amp;"_wd_"&amp;C35&amp;"/eval_results.txt"</f>
        <v>vi lr_5e-1_gas_1_wd_0.75/eval_results.txt</v>
      </c>
      <c r="E35" t="str">
        <f t="shared" si="3"/>
        <v>cd  lr_5e-1_gas_1_wd_0.75</v>
      </c>
      <c r="F35">
        <v>705.88919999999996</v>
      </c>
    </row>
    <row r="36" spans="1:6">
      <c r="A36" s="1">
        <v>0.05</v>
      </c>
      <c r="B36">
        <v>1</v>
      </c>
      <c r="C36">
        <v>0</v>
      </c>
      <c r="D36" s="1" t="str">
        <f>"vi lr_5e-2_gas_"&amp;B36&amp;"_wd_"&amp;C36&amp;"/eval_results.txt"</f>
        <v>vi lr_5e-2_gas_1_wd_0/eval_results.txt</v>
      </c>
      <c r="E36" t="str">
        <f t="shared" si="3"/>
        <v>cd  lr_5e-2_gas_1_wd_0</v>
      </c>
      <c r="F36">
        <v>692.66459999999995</v>
      </c>
    </row>
    <row r="37" spans="1:6">
      <c r="A37" s="1">
        <v>0.05</v>
      </c>
      <c r="B37">
        <v>1</v>
      </c>
      <c r="C37">
        <v>0.5</v>
      </c>
      <c r="D37" s="1" t="str">
        <f>"vi lr_5e-2_gas_"&amp;B37&amp;"_wd_"&amp;C37&amp;"/eval_results.txt"</f>
        <v>vi lr_5e-2_gas_1_wd_0.5/eval_results.txt</v>
      </c>
      <c r="E37" t="str">
        <f t="shared" si="3"/>
        <v>cd  lr_5e-2_gas_1_wd_0.5</v>
      </c>
      <c r="F37">
        <v>645.11739999999998</v>
      </c>
    </row>
    <row r="38" spans="1:6">
      <c r="A38" s="1">
        <v>0.05</v>
      </c>
      <c r="B38">
        <v>1</v>
      </c>
      <c r="C38">
        <v>0.75</v>
      </c>
      <c r="D38" s="1" t="str">
        <f>"vi lr_5e-2_gas_"&amp;B38&amp;"_wd_"&amp;C38&amp;"/eval_results.txt"</f>
        <v>vi lr_5e-2_gas_1_wd_0.75/eval_results.txt</v>
      </c>
      <c r="E38" t="str">
        <f t="shared" si="3"/>
        <v>cd  lr_5e-2_gas_1_wd_0.75</v>
      </c>
      <c r="F38">
        <v>641.32950000000005</v>
      </c>
    </row>
    <row r="39" spans="1:6">
      <c r="A39" s="1">
        <v>5.0000000000000001E-3</v>
      </c>
      <c r="B39">
        <v>1</v>
      </c>
      <c r="C39">
        <v>0</v>
      </c>
      <c r="D39" s="1" t="str">
        <f>"vi lr_5e-3_gas_"&amp;B39&amp;"_wd_"&amp;C39&amp;"/eval_results.txt"</f>
        <v>vi lr_5e-3_gas_1_wd_0/eval_results.txt</v>
      </c>
      <c r="E39" t="str">
        <f t="shared" si="3"/>
        <v>cd  lr_5e-3_gas_1_wd_0</v>
      </c>
      <c r="F39">
        <v>100.7902</v>
      </c>
    </row>
    <row r="40" spans="1:6">
      <c r="A40" s="1">
        <v>5.0000000000000001E-3</v>
      </c>
      <c r="B40">
        <v>1</v>
      </c>
      <c r="C40">
        <v>0.5</v>
      </c>
      <c r="D40" s="1" t="str">
        <f>"vi lr_5e-3_gas_"&amp;B40&amp;"_wd_"&amp;C40&amp;"/eval_results.txt"</f>
        <v>vi lr_5e-3_gas_1_wd_0.5/eval_results.txt</v>
      </c>
      <c r="E40" t="str">
        <f t="shared" si="3"/>
        <v>cd  lr_5e-3_gas_1_wd_0.5</v>
      </c>
      <c r="F40">
        <v>127.7735</v>
      </c>
    </row>
    <row r="41" spans="1:6">
      <c r="A41" s="1">
        <v>5.0000000000000001E-3</v>
      </c>
      <c r="B41">
        <v>1</v>
      </c>
      <c r="C41">
        <v>0.75</v>
      </c>
      <c r="D41" s="1" t="str">
        <f>"vi lr_5e-3_gas_"&amp;B41&amp;"_wd_"&amp;C41&amp;"/eval_results.txt"</f>
        <v>vi lr_5e-3_gas_1_wd_0.75/eval_results.txt</v>
      </c>
      <c r="E41" t="str">
        <f t="shared" si="3"/>
        <v>cd  lr_5e-3_gas_1_wd_0.75</v>
      </c>
      <c r="F41">
        <v>108.7004</v>
      </c>
    </row>
    <row r="42" spans="1:6">
      <c r="A42" s="1">
        <v>5.0000000000000001E-4</v>
      </c>
      <c r="B42">
        <v>1</v>
      </c>
      <c r="C42">
        <v>0</v>
      </c>
      <c r="D42" s="1" t="str">
        <f>"vi lr_5e-4_gas_"&amp;B42&amp;"_wd_"&amp;C42&amp;"/eval_results.txt"</f>
        <v>vi lr_5e-4_gas_1_wd_0/eval_results.txt</v>
      </c>
      <c r="E42" t="str">
        <f t="shared" si="3"/>
        <v>cd  lr_5e-4_gas_1_wd_0</v>
      </c>
      <c r="F42">
        <v>4.0141999999999998</v>
      </c>
    </row>
    <row r="43" spans="1:6">
      <c r="A43" s="1">
        <v>5.0000000000000001E-4</v>
      </c>
      <c r="B43">
        <v>1</v>
      </c>
      <c r="C43">
        <v>0.5</v>
      </c>
      <c r="D43" s="1" t="str">
        <f>"vi lr_5e-4_gas_"&amp;B43&amp;"_wd_"&amp;C43&amp;"/eval_results.txt"</f>
        <v>vi lr_5e-4_gas_1_wd_0.5/eval_results.txt</v>
      </c>
      <c r="E43" t="str">
        <f t="shared" si="3"/>
        <v>cd  lr_5e-4_gas_1_wd_0.5</v>
      </c>
      <c r="F43">
        <v>4.0377999999999998</v>
      </c>
    </row>
    <row r="44" spans="1:6">
      <c r="A44" s="1">
        <v>5.0000000000000001E-4</v>
      </c>
      <c r="B44">
        <v>1</v>
      </c>
      <c r="C44">
        <v>0.75</v>
      </c>
      <c r="D44" s="1" t="str">
        <f>"vi lr_5e-4_gas_"&amp;B44&amp;"_wd_"&amp;C44&amp;"/eval_results.txt"</f>
        <v>vi lr_5e-4_gas_1_wd_0.75/eval_results.txt</v>
      </c>
      <c r="E44" t="str">
        <f t="shared" si="3"/>
        <v>cd  lr_5e-4_gas_1_wd_0.75</v>
      </c>
      <c r="F44">
        <v>4.0309999999999997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Number of Epocs @ Speech Level</vt:lpstr>
      <vt:lpstr>Speech Level</vt:lpstr>
      <vt:lpstr>Sentence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tyu</dc:creator>
  <cp:lastModifiedBy>tyu</cp:lastModifiedBy>
  <dcterms:created xsi:type="dcterms:W3CDTF">2019-11-09T05:07:15Z</dcterms:created>
  <dcterms:modified xsi:type="dcterms:W3CDTF">2019-11-10T07:32:14Z</dcterms:modified>
</cp:coreProperties>
</file>